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MS Monitoring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6">
    <font>
      <name val="Calibri"/>
      <family val="2"/>
      <color theme="1"/>
      <sz val="11"/>
      <scheme val="minor"/>
    </font>
    <font>
      <name val="Bookman Old Style"/>
      <family val="1"/>
      <color theme="1"/>
      <sz val="11"/>
    </font>
    <font>
      <name val="Bookman Old Style"/>
      <family val="1"/>
      <color theme="0"/>
      <sz val="11"/>
    </font>
    <font>
      <name val="Bookman Old Style"/>
      <family val="1"/>
      <color rgb="FF1F1F1F"/>
      <sz val="17"/>
    </font>
    <font>
      <name val="Bookman Old Style"/>
      <family val="1"/>
      <color theme="1"/>
      <sz val="20"/>
    </font>
    <font>
      <name val="Bookman Old Style"/>
      <family val="1"/>
      <color theme="9" tint="-0.499984740745262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2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/>
    </xf>
    <xf numFmtId="2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"/>
  <sheetViews>
    <sheetView tabSelected="1" zoomScaleNormal="100" workbookViewId="0">
      <selection activeCell="R16" sqref="R16"/>
    </sheetView>
  </sheetViews>
  <sheetFormatPr baseColWidth="8" defaultRowHeight="15"/>
  <cols>
    <col width="9.140625" customWidth="1" style="6" min="1" max="1"/>
    <col width="15" bestFit="1" customWidth="1" style="6" min="2" max="2"/>
    <col width="31.140625" bestFit="1" customWidth="1" style="6" min="3" max="3"/>
    <col width="23.5703125" bestFit="1" customWidth="1" style="6" min="4" max="4"/>
    <col width="27.5703125" bestFit="1" customWidth="1" style="6" min="5" max="5"/>
    <col width="26" bestFit="1" customWidth="1" style="6" min="6" max="6"/>
    <col width="22.85546875" bestFit="1" customWidth="1" style="6" min="7" max="7"/>
    <col width="18.140625" bestFit="1" customWidth="1" style="6" min="8" max="8"/>
    <col width="20.5703125" bestFit="1" customWidth="1" style="6" min="9" max="9"/>
    <col width="19.7109375" bestFit="1" customWidth="1" style="6" min="10" max="10"/>
    <col width="41.85546875" bestFit="1" customWidth="1" style="6" min="11" max="11"/>
    <col width="35.42578125" bestFit="1" customWidth="1" style="6" min="12" max="13"/>
    <col width="18.42578125" bestFit="1" customWidth="1" style="6" min="14" max="14"/>
    <col width="23.140625" bestFit="1" customWidth="1" style="6" min="15" max="15"/>
    <col width="20.5703125" bestFit="1" customWidth="1" style="6" min="16" max="16"/>
    <col width="11.140625" bestFit="1" customWidth="1" style="6" min="17" max="17"/>
    <col width="16.7109375" customWidth="1" style="6" min="18" max="18"/>
    <col width="9.140625" customWidth="1" style="6" min="19" max="19"/>
    <col width="9.140625" customWidth="1" style="6" min="20" max="16384"/>
  </cols>
  <sheetData>
    <row r="1" ht="25.5" customHeight="1">
      <c r="A1" s="5" t="n"/>
      <c r="B1" s="4" t="n"/>
      <c r="C1" s="4" t="n"/>
      <c r="D1" s="4" t="n"/>
      <c r="G1" s="7" t="inlineStr">
        <is>
          <t>EMS Monitoring Report 2026 (Active Energy in kWh)</t>
        </is>
      </c>
    </row>
    <row r="2" ht="25.5" customHeight="1">
      <c r="A2" s="5" t="n"/>
      <c r="B2" s="4" t="n"/>
      <c r="C2" s="4" t="n"/>
      <c r="D2" s="4" t="n"/>
      <c r="G2" s="8" t="n"/>
    </row>
    <row r="3" ht="15.75" customFormat="1" customHeight="1" s="10">
      <c r="A3" s="9" t="n"/>
      <c r="B3" s="3" t="inlineStr">
        <is>
          <t>Date</t>
        </is>
      </c>
      <c r="C3" s="3" t="inlineStr">
        <is>
          <t>Old LT Panel Main Incomer</t>
        </is>
      </c>
      <c r="D3" s="3" t="inlineStr">
        <is>
          <t>Chiller Plating Plant</t>
        </is>
      </c>
      <c r="E3" s="3" t="inlineStr">
        <is>
          <t>Packing &amp; Stiching Line</t>
        </is>
      </c>
      <c r="F3" s="3" t="inlineStr">
        <is>
          <t>Rigga Line Fabrication</t>
        </is>
      </c>
      <c r="G3" s="3" t="inlineStr">
        <is>
          <t>Press &amp; Fabrication</t>
        </is>
      </c>
      <c r="H3" s="3" t="inlineStr">
        <is>
          <t>Powder Coating</t>
        </is>
      </c>
      <c r="I3" s="3" t="inlineStr">
        <is>
          <t>New Plating Plant</t>
        </is>
      </c>
      <c r="J3" s="3" t="inlineStr">
        <is>
          <t>Old Plating Plant</t>
        </is>
      </c>
      <c r="K3" s="3" t="inlineStr">
        <is>
          <t>Kaeser ASD 60 40HP Air Compressor</t>
        </is>
      </c>
      <c r="L3" s="3" t="inlineStr">
        <is>
          <t>ELGI E18 25HP Air Compressor</t>
        </is>
      </c>
      <c r="M3" s="3" t="inlineStr">
        <is>
          <t>ELGI E45 60HP Air Compressor</t>
        </is>
      </c>
      <c r="N3" s="3" t="inlineStr">
        <is>
          <t>DIPP_PT_PANEĹ</t>
        </is>
      </c>
      <c r="O3" s="3" t="inlineStr">
        <is>
          <t>DUST_ COLLECTOR</t>
        </is>
      </c>
      <c r="P3" s="3" t="inlineStr">
        <is>
          <t>SPRAY_PT_PANEL</t>
        </is>
      </c>
      <c r="Q3" s="3" t="inlineStr">
        <is>
          <t>DM Plant</t>
        </is>
      </c>
      <c r="R3" s="3" t="inlineStr">
        <is>
          <t>Total</t>
        </is>
      </c>
    </row>
    <row r="4">
      <c r="B4" s="1" t="inlineStr">
        <is>
          <t>Cum.  (YTD)</t>
        </is>
      </c>
      <c r="C4" s="1">
        <f>SUM(C5:C34)</f>
        <v/>
      </c>
      <c r="D4" s="1">
        <f>SUM(D5:D34)</f>
        <v/>
      </c>
      <c r="E4" s="1">
        <f>SUM(E5:E34)</f>
        <v/>
      </c>
      <c r="F4" s="1">
        <f>SUM(F5:F34)</f>
        <v/>
      </c>
      <c r="G4" s="1">
        <f>SUM(G5:G34)</f>
        <v/>
      </c>
      <c r="H4" s="1">
        <f>SUM(H5:H34)</f>
        <v/>
      </c>
      <c r="I4" s="1">
        <f>SUM(I5:I34)</f>
        <v/>
      </c>
      <c r="J4" s="1">
        <f>SUM(J5:J34)</f>
        <v/>
      </c>
      <c r="K4" s="1">
        <f>SUM(K5:K34)</f>
        <v/>
      </c>
      <c r="L4" s="1">
        <f>SUM(L5:L34)</f>
        <v/>
      </c>
      <c r="M4" s="1">
        <f>SUM(M5:M34)</f>
        <v/>
      </c>
      <c r="N4" s="1">
        <f>SUM(N5:N34)</f>
        <v/>
      </c>
      <c r="O4" s="1">
        <f>SUM(O5:O34)</f>
        <v/>
      </c>
      <c r="P4" s="1">
        <f>SUM(P5:P34)</f>
        <v/>
      </c>
      <c r="Q4" s="1">
        <f>SUM(Q5:Q34)</f>
        <v/>
      </c>
      <c r="R4" s="1">
        <f>SUM(R5:R34)</f>
        <v/>
      </c>
    </row>
    <row r="5">
      <c r="B5" s="2" t="n">
        <v>46266</v>
      </c>
      <c r="C5" s="11" t="n">
        <v>2935.61</v>
      </c>
      <c r="D5" s="11" t="n">
        <v>135.18</v>
      </c>
      <c r="E5" s="11" t="n">
        <v>373.23</v>
      </c>
      <c r="F5" s="11" t="n">
        <v>96.7</v>
      </c>
      <c r="G5" s="11" t="n">
        <v>690.42</v>
      </c>
      <c r="H5" s="11" t="n">
        <v>1619.92</v>
      </c>
      <c r="I5" s="11" t="n">
        <v>0.86</v>
      </c>
      <c r="J5" s="11" t="n">
        <v>168.5</v>
      </c>
      <c r="K5" s="11" t="n">
        <v>595.79</v>
      </c>
      <c r="L5" s="11" t="n">
        <v>0.03</v>
      </c>
      <c r="M5" s="11" t="n">
        <v>818.87</v>
      </c>
      <c r="N5" s="11" t="n">
        <v>0.03</v>
      </c>
      <c r="O5" s="11" t="n">
        <v>191.3</v>
      </c>
      <c r="P5" s="11" t="n">
        <v>10.53</v>
      </c>
      <c r="Q5" s="11" t="n">
        <v>139.19</v>
      </c>
      <c r="R5" s="11">
        <f>SUM(C5:Q5)</f>
        <v/>
      </c>
    </row>
    <row r="6">
      <c r="B6" s="2" t="n">
        <v>46267</v>
      </c>
      <c r="C6" s="11" t="n">
        <v>3781.31</v>
      </c>
      <c r="D6" s="11" t="n">
        <v>196.51</v>
      </c>
      <c r="E6" s="11" t="n">
        <v>418.54</v>
      </c>
      <c r="F6" s="11" t="n">
        <v>100.42</v>
      </c>
      <c r="G6" s="11" t="n">
        <v>959.8200000000001</v>
      </c>
      <c r="H6" s="11" t="n">
        <v>2018.34</v>
      </c>
      <c r="I6" s="11" t="n">
        <v>1</v>
      </c>
      <c r="J6" s="11" t="n">
        <v>79.61</v>
      </c>
      <c r="K6" s="11" t="n">
        <v>799.66</v>
      </c>
      <c r="L6" s="11" t="n">
        <v>0.06</v>
      </c>
      <c r="M6" s="11" t="n">
        <v>1045.8</v>
      </c>
      <c r="N6" s="11" t="n">
        <v>0</v>
      </c>
      <c r="O6" s="11" t="n">
        <v>251.63</v>
      </c>
      <c r="P6" s="11" t="n">
        <v>4.94</v>
      </c>
      <c r="Q6" s="11" t="n">
        <v>172.77</v>
      </c>
      <c r="R6" s="11">
        <f>SUM(C6:Q6)</f>
        <v/>
      </c>
    </row>
    <row r="7">
      <c r="B7" s="2" t="n">
        <v>46268</v>
      </c>
      <c r="C7" s="11" t="n">
        <v>3939.61</v>
      </c>
      <c r="D7" s="11" t="n">
        <v>191.53</v>
      </c>
      <c r="E7" s="11" t="n">
        <v>460.24</v>
      </c>
      <c r="F7" s="11" t="n">
        <v>117.87</v>
      </c>
      <c r="G7" s="11" t="n">
        <v>1045.82</v>
      </c>
      <c r="H7" s="11" t="n">
        <v>2001.61</v>
      </c>
      <c r="I7" s="11" t="n">
        <v>1.15</v>
      </c>
      <c r="J7" s="11" t="n">
        <v>2.1</v>
      </c>
      <c r="K7" s="11" t="n">
        <v>798.9299999999999</v>
      </c>
      <c r="L7" s="11" t="n">
        <v>0.05</v>
      </c>
      <c r="M7" s="11" t="n">
        <v>1039.09</v>
      </c>
      <c r="N7" s="11" t="n">
        <v>0.32</v>
      </c>
      <c r="O7" s="11" t="n">
        <v>253.43</v>
      </c>
      <c r="P7" s="11" t="n">
        <v>5.11</v>
      </c>
      <c r="Q7" s="11" t="n">
        <v>162.37</v>
      </c>
      <c r="R7" s="11">
        <f>SUM(C7:Q7)</f>
        <v/>
      </c>
    </row>
    <row r="8">
      <c r="B8" s="2" t="n">
        <v>46269</v>
      </c>
      <c r="C8" s="11" t="n">
        <v>3743.3</v>
      </c>
      <c r="D8" s="11" t="n">
        <v>185.04</v>
      </c>
      <c r="E8" s="11" t="n">
        <v>535.09</v>
      </c>
      <c r="F8" s="11" t="n">
        <v>241.99</v>
      </c>
      <c r="G8" s="11" t="n">
        <v>1020.71</v>
      </c>
      <c r="H8" s="11" t="n">
        <v>1962.2</v>
      </c>
      <c r="I8" s="11" t="n">
        <v>1.24</v>
      </c>
      <c r="J8" s="11" t="n">
        <v>7.05</v>
      </c>
      <c r="K8" s="11" t="n">
        <v>788.45</v>
      </c>
      <c r="L8" s="11" t="n">
        <v>0.04</v>
      </c>
      <c r="M8" s="11" t="n">
        <v>987.95</v>
      </c>
      <c r="N8" s="11" t="n">
        <v>0.08</v>
      </c>
      <c r="O8" s="11" t="n">
        <v>247.68</v>
      </c>
      <c r="P8" s="11" t="n">
        <v>4.22</v>
      </c>
      <c r="Q8" s="11" t="n">
        <v>167.2</v>
      </c>
      <c r="R8" s="11">
        <f>SUM(C8:Q8)</f>
        <v/>
      </c>
    </row>
    <row r="9">
      <c r="B9" s="2" t="n">
        <v>46270</v>
      </c>
      <c r="C9" s="11" t="n">
        <v>3826.3</v>
      </c>
      <c r="D9" s="11" t="n">
        <v>188.71</v>
      </c>
      <c r="E9" s="11" t="n">
        <v>497.49</v>
      </c>
      <c r="F9" s="11" t="n">
        <v>234.7</v>
      </c>
      <c r="G9" s="11" t="n">
        <v>1100.89</v>
      </c>
      <c r="H9" s="11" t="n">
        <v>1986.35</v>
      </c>
      <c r="I9" s="11" t="n">
        <v>1.26</v>
      </c>
      <c r="J9" s="11" t="n">
        <v>2.6</v>
      </c>
      <c r="K9" s="11" t="n">
        <v>797.88</v>
      </c>
      <c r="L9" s="11" t="n">
        <v>0.04</v>
      </c>
      <c r="M9" s="11" t="n">
        <v>1000.93</v>
      </c>
      <c r="N9" s="11" t="n">
        <v>0.08</v>
      </c>
      <c r="O9" s="11" t="n">
        <v>248.62</v>
      </c>
      <c r="P9" s="11" t="n">
        <v>4.59</v>
      </c>
      <c r="Q9" s="11" t="n">
        <v>132.3</v>
      </c>
      <c r="R9" s="11">
        <f>SUM(C9:Q9)</f>
        <v/>
      </c>
    </row>
    <row r="10">
      <c r="B10" s="2" t="n">
        <v>46271</v>
      </c>
      <c r="C10" s="11" t="n">
        <v>3444.83</v>
      </c>
      <c r="D10" s="11" t="n">
        <v>184.01</v>
      </c>
      <c r="E10" s="11" t="n">
        <v>488.17</v>
      </c>
      <c r="F10" s="11" t="n">
        <v>164.68</v>
      </c>
      <c r="G10" s="11" t="n">
        <v>917.03</v>
      </c>
      <c r="H10" s="11" t="n">
        <v>1972.85</v>
      </c>
      <c r="I10" s="11" t="n">
        <v>1.08</v>
      </c>
      <c r="J10" s="11" t="n">
        <v>2.93</v>
      </c>
      <c r="K10" s="11" t="n">
        <v>790.67</v>
      </c>
      <c r="L10" s="11" t="n">
        <v>0.03</v>
      </c>
      <c r="M10" s="11" t="n">
        <v>1004.56</v>
      </c>
      <c r="N10" s="11" t="n">
        <v>0.2</v>
      </c>
      <c r="O10" s="11" t="n">
        <v>249.31</v>
      </c>
      <c r="P10" s="11" t="n">
        <v>4.34</v>
      </c>
      <c r="Q10" s="11" t="n">
        <v>159.5</v>
      </c>
      <c r="R10" s="11">
        <f>SUM(C10:Q10)</f>
        <v/>
      </c>
    </row>
    <row r="11">
      <c r="B11" s="2" t="n">
        <v>46272</v>
      </c>
      <c r="C11" s="12" t="n">
        <v>622.37</v>
      </c>
      <c r="D11" s="12" t="n">
        <v>12.96</v>
      </c>
      <c r="E11" s="12" t="n">
        <v>79.12</v>
      </c>
      <c r="F11" s="12" t="n">
        <v>0.8100000000000001</v>
      </c>
      <c r="G11" s="12" t="n">
        <v>236.59</v>
      </c>
      <c r="H11" s="12" t="n">
        <v>454.54</v>
      </c>
      <c r="I11" s="12" t="n">
        <v>0.1</v>
      </c>
      <c r="J11" s="12" t="n">
        <v>0.42</v>
      </c>
      <c r="K11" s="12" t="n">
        <v>188.29</v>
      </c>
      <c r="L11" s="12" t="n">
        <v>0</v>
      </c>
      <c r="M11" s="12" t="n">
        <v>148.61</v>
      </c>
      <c r="N11" s="12" t="n">
        <v>0</v>
      </c>
      <c r="O11" s="12" t="n">
        <v>41.44</v>
      </c>
      <c r="P11" s="12" t="n">
        <v>6.16</v>
      </c>
      <c r="Q11" s="12" t="n">
        <v>100.29</v>
      </c>
      <c r="R11" s="12">
        <f>SUM(C11:Q11)</f>
        <v/>
      </c>
    </row>
    <row r="12">
      <c r="B12" s="2" t="n">
        <v>46273</v>
      </c>
      <c r="C12" s="13" t="n">
        <v>2810.95</v>
      </c>
      <c r="D12" s="11" t="n">
        <v>137.85</v>
      </c>
      <c r="E12" s="11" t="n">
        <v>473.31</v>
      </c>
      <c r="F12" s="11" t="n">
        <v>120.39</v>
      </c>
      <c r="G12" s="11" t="n">
        <v>891.4</v>
      </c>
      <c r="H12" s="13" t="n">
        <v>1529.23</v>
      </c>
      <c r="I12" s="11" t="n">
        <v>0.91</v>
      </c>
      <c r="J12" s="11" t="n">
        <v>5.07</v>
      </c>
      <c r="K12" s="11" t="n">
        <v>605.72</v>
      </c>
      <c r="L12" s="11" t="n">
        <v>0.03</v>
      </c>
      <c r="M12" s="11" t="n">
        <v>823.37</v>
      </c>
      <c r="N12" s="11" t="n">
        <v>0</v>
      </c>
      <c r="O12" s="11" t="n">
        <v>179.04</v>
      </c>
      <c r="P12" s="11" t="n">
        <v>6.17</v>
      </c>
      <c r="Q12" s="11" t="n">
        <v>155.65</v>
      </c>
      <c r="R12" s="11">
        <f>SUM(C12:Q12)</f>
        <v/>
      </c>
    </row>
    <row r="13">
      <c r="B13" s="2" t="n">
        <v>46274</v>
      </c>
      <c r="C13" s="11" t="n">
        <v>3910.3</v>
      </c>
      <c r="D13" s="11" t="n">
        <v>184.42</v>
      </c>
      <c r="E13" s="11" t="n">
        <v>525.4299999999999</v>
      </c>
      <c r="F13" s="11" t="n">
        <v>192.91</v>
      </c>
      <c r="G13" s="11" t="n">
        <v>1003.71</v>
      </c>
      <c r="H13" s="11" t="n">
        <v>2039.47</v>
      </c>
      <c r="I13" s="11" t="n">
        <v>1.12</v>
      </c>
      <c r="J13" s="11" t="n">
        <v>2</v>
      </c>
      <c r="K13" s="11" t="n">
        <v>797.79</v>
      </c>
      <c r="L13" s="11" t="n">
        <v>0.06</v>
      </c>
      <c r="M13" s="11" t="n">
        <v>1030</v>
      </c>
      <c r="N13" s="11" t="n">
        <v>0.06</v>
      </c>
      <c r="O13" s="11" t="n">
        <v>248.22</v>
      </c>
      <c r="P13" s="11" t="n">
        <v>5.5</v>
      </c>
      <c r="Q13" s="11" t="n">
        <v>182.15</v>
      </c>
      <c r="R13" s="11">
        <f>SUM(C13:Q13)</f>
        <v/>
      </c>
    </row>
    <row r="14">
      <c r="B14" s="2" t="n">
        <v>46275</v>
      </c>
      <c r="C14" s="12" t="n">
        <v>3719.08</v>
      </c>
      <c r="D14" s="12" t="n">
        <v>187.31</v>
      </c>
      <c r="E14" s="11" t="n">
        <v>449.57</v>
      </c>
      <c r="F14" s="12" t="n">
        <v>204.01</v>
      </c>
      <c r="G14" s="12" t="n">
        <v>1002.96</v>
      </c>
      <c r="H14" s="12" t="n">
        <v>1955.74</v>
      </c>
      <c r="I14" s="12" t="n">
        <v>1.29</v>
      </c>
      <c r="J14" s="12" t="n">
        <v>3.63</v>
      </c>
      <c r="K14" s="12" t="n">
        <v>787.46</v>
      </c>
      <c r="L14" s="12" t="n">
        <v>0.06</v>
      </c>
      <c r="M14" s="12" t="n">
        <v>959.0700000000001</v>
      </c>
      <c r="N14" s="12" t="n">
        <v>0.07000000000000001</v>
      </c>
      <c r="O14" s="12" t="n">
        <v>225.64</v>
      </c>
      <c r="P14" s="12" t="n">
        <v>7.79</v>
      </c>
      <c r="Q14" s="12" t="n">
        <v>174.73</v>
      </c>
      <c r="R14" s="11">
        <f>SUM(C14:Q14)</f>
        <v/>
      </c>
    </row>
    <row r="15">
      <c r="B15" s="2" t="n">
        <v>46276</v>
      </c>
      <c r="C15" s="11" t="n">
        <v>3183.94</v>
      </c>
      <c r="D15" s="11" t="n">
        <v>124.93</v>
      </c>
      <c r="E15" s="11" t="n">
        <v>466.56</v>
      </c>
      <c r="F15" s="11" t="n">
        <v>171.67</v>
      </c>
      <c r="G15" s="11" t="n">
        <v>1059.49</v>
      </c>
      <c r="H15" s="11" t="n">
        <v>1748.36</v>
      </c>
      <c r="I15" s="11" t="n">
        <v>0.87</v>
      </c>
      <c r="J15" s="11" t="n">
        <v>3.19</v>
      </c>
      <c r="K15" s="11" t="n">
        <v>796.28</v>
      </c>
      <c r="L15" s="11" t="n">
        <v>0.05</v>
      </c>
      <c r="M15" s="11" t="n">
        <v>943.66</v>
      </c>
      <c r="N15" s="11" t="n">
        <v>0.06</v>
      </c>
      <c r="O15" s="11" t="n">
        <v>217.93</v>
      </c>
      <c r="P15" s="11" t="n">
        <v>22.85</v>
      </c>
      <c r="Q15" s="11" t="n">
        <v>187.77</v>
      </c>
      <c r="R15" s="11">
        <f>SUM(C15:Q15)</f>
        <v/>
      </c>
    </row>
    <row r="16">
      <c r="B16" s="2" t="n">
        <v>46277</v>
      </c>
      <c r="C16" s="11" t="n">
        <v>3165.92</v>
      </c>
      <c r="D16" s="11" t="n">
        <v>141.35</v>
      </c>
      <c r="E16" s="11" t="n">
        <v>477.82</v>
      </c>
      <c r="F16" s="11" t="n">
        <v>179.22</v>
      </c>
      <c r="G16" s="11" t="n">
        <v>1009.43</v>
      </c>
      <c r="H16" s="11" t="n">
        <v>2018.03</v>
      </c>
      <c r="I16" s="11" t="n">
        <v>1.21</v>
      </c>
      <c r="J16" s="11" t="n">
        <v>2.6</v>
      </c>
      <c r="K16" s="11" t="n">
        <v>776.61</v>
      </c>
      <c r="L16" s="11" t="n">
        <v>0.04</v>
      </c>
      <c r="M16" s="11" t="n">
        <v>1012.75</v>
      </c>
      <c r="N16" s="11" t="n">
        <v>0.17</v>
      </c>
      <c r="O16" s="11" t="n">
        <v>251.5</v>
      </c>
      <c r="P16" s="11" t="n">
        <v>9.19</v>
      </c>
      <c r="Q16" s="11" t="n">
        <v>160.99</v>
      </c>
      <c r="R16" s="11">
        <f>SUM(C16:Q16)</f>
        <v/>
      </c>
    </row>
    <row r="17">
      <c r="B17" s="2" t="n">
        <v>46278</v>
      </c>
      <c r="C17" s="11" t="n">
        <v>4133.96</v>
      </c>
      <c r="D17" s="11" t="n">
        <v>186.34</v>
      </c>
      <c r="E17" s="11" t="n">
        <v>502.56</v>
      </c>
      <c r="F17" s="11" t="n">
        <v>117.35</v>
      </c>
      <c r="G17" s="11" t="n">
        <v>1022.16</v>
      </c>
      <c r="H17" s="11" t="n">
        <v>2006.73</v>
      </c>
      <c r="I17" s="11" t="n">
        <v>1.14</v>
      </c>
      <c r="J17" s="11" t="n">
        <v>1.41</v>
      </c>
      <c r="K17" s="11" t="n">
        <v>777.41</v>
      </c>
      <c r="L17" s="11" t="n">
        <v>0.03</v>
      </c>
      <c r="M17" s="11" t="n">
        <v>993.75</v>
      </c>
      <c r="N17" s="11" t="n">
        <v>0.12</v>
      </c>
      <c r="O17" s="11" t="n">
        <v>263.08</v>
      </c>
      <c r="P17" s="11" t="n">
        <v>18.15</v>
      </c>
      <c r="Q17" s="11" t="n">
        <v>215.98</v>
      </c>
      <c r="R17" s="11">
        <f>SUM(C17:Q17)</f>
        <v/>
      </c>
    </row>
    <row r="18">
      <c r="B18" s="2" t="n">
        <v>46279</v>
      </c>
      <c r="C18" s="11" t="n">
        <v>949.03</v>
      </c>
      <c r="D18" s="11" t="n">
        <v>42.89</v>
      </c>
      <c r="E18" s="11" t="n">
        <v>54.78</v>
      </c>
      <c r="F18" s="11" t="n">
        <v>2.18</v>
      </c>
      <c r="G18" s="11" t="n">
        <v>253.34</v>
      </c>
      <c r="H18" s="11" t="n">
        <v>600.34</v>
      </c>
      <c r="I18" s="11" t="n">
        <v>0.26</v>
      </c>
      <c r="J18" s="11" t="n">
        <v>0.04</v>
      </c>
      <c r="K18" s="11" t="n">
        <v>221.02</v>
      </c>
      <c r="L18" s="11" t="n">
        <v>0</v>
      </c>
      <c r="M18" s="11" t="n">
        <v>230.06</v>
      </c>
      <c r="N18" s="11" t="n">
        <v>0</v>
      </c>
      <c r="O18" s="11" t="n">
        <v>73.98999999999999</v>
      </c>
      <c r="P18" s="11" t="n">
        <v>2.23</v>
      </c>
      <c r="Q18" s="11" t="n">
        <v>89.09</v>
      </c>
      <c r="R18" s="11">
        <f>SUM(C18:Q18)</f>
        <v/>
      </c>
    </row>
    <row r="19">
      <c r="B19" s="2" t="n">
        <v>46280</v>
      </c>
      <c r="C19" s="11" t="n">
        <v>2892.35</v>
      </c>
      <c r="D19" s="11" t="n">
        <v>67.92</v>
      </c>
      <c r="E19" s="11" t="n">
        <v>403.37</v>
      </c>
      <c r="F19" s="11" t="n">
        <v>141.14</v>
      </c>
      <c r="G19" s="11" t="n">
        <v>919.3</v>
      </c>
      <c r="H19" s="11" t="n">
        <v>1479.62</v>
      </c>
      <c r="I19" s="11" t="n">
        <v>0.79</v>
      </c>
      <c r="J19" s="11" t="n">
        <v>128.47</v>
      </c>
      <c r="K19" s="11" t="n">
        <v>571.25</v>
      </c>
      <c r="L19" s="11" t="n">
        <v>0.03</v>
      </c>
      <c r="M19" s="11" t="n">
        <v>789.73</v>
      </c>
      <c r="N19" s="11" t="n">
        <v>0.57</v>
      </c>
      <c r="O19" s="11" t="n">
        <v>197.88</v>
      </c>
      <c r="P19" s="11" t="n">
        <v>7</v>
      </c>
      <c r="Q19" s="11" t="n">
        <v>157.17</v>
      </c>
      <c r="R19" s="11">
        <f>SUM(C19:Q19)</f>
        <v/>
      </c>
    </row>
    <row r="20">
      <c r="B20" s="2" t="n">
        <v>46281</v>
      </c>
      <c r="C20" s="11" t="n">
        <v>3420.54</v>
      </c>
      <c r="D20" s="11" t="n">
        <v>66.09999999999999</v>
      </c>
      <c r="E20" s="11" t="n">
        <v>504.68</v>
      </c>
      <c r="F20" s="11" t="n">
        <v>171.81</v>
      </c>
      <c r="G20" s="11" t="n">
        <v>1039.61</v>
      </c>
      <c r="H20" s="11" t="n">
        <v>1975.17</v>
      </c>
      <c r="I20" s="11" t="n">
        <v>0.77</v>
      </c>
      <c r="J20" s="11" t="n">
        <v>193.03</v>
      </c>
      <c r="K20" s="11" t="n">
        <v>773.41</v>
      </c>
      <c r="L20" s="11" t="n">
        <v>0.04</v>
      </c>
      <c r="M20" s="11" t="n">
        <v>1023.72</v>
      </c>
      <c r="N20" s="11" t="n">
        <v>0.43</v>
      </c>
      <c r="O20" s="11" t="n">
        <v>263.22</v>
      </c>
      <c r="P20" s="11" t="n">
        <v>17.66</v>
      </c>
      <c r="Q20" s="11" t="n">
        <v>149.81</v>
      </c>
      <c r="R20" s="11">
        <f>SUM(C20:Q20)</f>
        <v/>
      </c>
    </row>
    <row r="21">
      <c r="B21" s="2" t="n">
        <v>46282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B22" s="2" t="n">
        <v>46283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B23" s="2" t="n">
        <v>46284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B24" s="2" t="n">
        <v>46285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B25" s="2" t="n">
        <v>46286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B26" s="2" t="n">
        <v>46287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B27" s="2" t="n">
        <v>46288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B28" s="2" t="n">
        <v>46289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B29" s="2" t="n">
        <v>46290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B30" s="2" t="n">
        <v>46291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B31" s="2" t="n">
        <v>46292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B32" s="2" t="n">
        <v>46293</v>
      </c>
      <c r="C32" s="11" t="n">
        <v>789.6</v>
      </c>
      <c r="D32" s="11" t="n">
        <v>4.31</v>
      </c>
      <c r="E32" s="11" t="n">
        <v>73.59</v>
      </c>
      <c r="F32" s="11" t="n">
        <v>4.73</v>
      </c>
      <c r="G32" s="11" t="n">
        <v>278.38</v>
      </c>
      <c r="H32" s="11" t="n">
        <v>641.9</v>
      </c>
      <c r="I32" s="11" t="n">
        <v>0.01</v>
      </c>
      <c r="J32" s="11" t="n">
        <v>0.23</v>
      </c>
      <c r="K32" s="11" t="n">
        <v>239.85</v>
      </c>
      <c r="L32" s="11" t="n">
        <v>0</v>
      </c>
      <c r="M32" s="11" t="n">
        <v>231.02</v>
      </c>
      <c r="N32" s="11" t="n">
        <v>0.33</v>
      </c>
      <c r="O32" s="11" t="n">
        <v>229.02</v>
      </c>
      <c r="P32" s="11" t="n">
        <v>237.08</v>
      </c>
      <c r="Q32" s="11" t="n">
        <v>103</v>
      </c>
      <c r="R32" s="11">
        <f>SUM(C32:Q32)</f>
        <v/>
      </c>
    </row>
    <row r="33">
      <c r="B33" s="2" t="n">
        <v>46294</v>
      </c>
      <c r="C33" s="11" t="n">
        <v>2693.38</v>
      </c>
      <c r="D33" s="11" t="n">
        <v>47.15</v>
      </c>
      <c r="E33" s="11" t="n">
        <v>478.77</v>
      </c>
      <c r="F33" s="11" t="n">
        <v>160.88</v>
      </c>
      <c r="G33" s="11" t="n">
        <v>861.33</v>
      </c>
      <c r="H33" s="11" t="n">
        <v>1482.52</v>
      </c>
      <c r="I33" s="11" t="n">
        <v>0.88</v>
      </c>
      <c r="J33" s="11" t="n">
        <v>2.61</v>
      </c>
      <c r="K33" s="11" t="n">
        <v>579.52</v>
      </c>
      <c r="L33" s="11" t="n">
        <v>0.04</v>
      </c>
      <c r="M33" s="11" t="n">
        <v>823.89</v>
      </c>
      <c r="N33" s="11" t="n">
        <v>14.14</v>
      </c>
      <c r="O33" s="11" t="n">
        <v>545.91</v>
      </c>
      <c r="P33" s="11" t="n">
        <v>454.2</v>
      </c>
      <c r="Q33" s="11" t="n">
        <v>153.79</v>
      </c>
      <c r="R33" s="11">
        <f>SUM(C33:Q33)</f>
        <v/>
      </c>
    </row>
    <row r="34">
      <c r="B34" s="2" t="n">
        <v>46295</v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B35" s="2" t="n">
        <v>46296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B36" s="2" t="n">
        <v>46297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B37" s="2" t="n">
        <v>46298</v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B38" s="2" t="n">
        <v>46299</v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B39" s="2" t="n">
        <v>46300</v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B40" s="2" t="n">
        <v>46301</v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B41" s="2" t="n">
        <v>46302</v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B42" s="2" t="n">
        <v>46303</v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B43" s="2" t="n">
        <v>46304</v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B44" s="2" t="n">
        <v>46305</v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B45" s="2" t="n">
        <v>46306</v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B46" s="2" t="n">
        <v>46307</v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B47" s="2" t="n">
        <v>46308</v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B48" s="2" t="n">
        <v>46309</v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B49" s="2" t="n">
        <v>46310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B50" s="2" t="n">
        <v>46311</v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B51" s="2" t="n">
        <v>46312</v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B52" s="2" t="n">
        <v>46313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B53" s="2" t="n">
        <v>46314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B54" s="2" t="n">
        <v>46315</v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B55" s="2" t="n">
        <v>46316</v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B56" s="2" t="n">
        <v>46317</v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B57" s="2" t="n">
        <v>46318</v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B58" s="2" t="n">
        <v>46319</v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B59" s="2" t="n">
        <v>46320</v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B60" s="2" t="n">
        <v>46321</v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B61" s="2" t="n">
        <v>46322</v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B62" s="2" t="n">
        <v>46323</v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B63" s="2" t="n">
        <v>46324</v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B64" s="2" t="n">
        <v>46325</v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B65" s="2" t="n">
        <v>46326</v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B66" s="2" t="n">
        <v>46327</v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B67" s="2" t="n">
        <v>46328</v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B68" s="2" t="n">
        <v>46329</v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B69" s="2" t="n">
        <v>46330</v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B70" s="2" t="n">
        <v>46331</v>
      </c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B71" s="2" t="n">
        <v>46332</v>
      </c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B72" s="2" t="n">
        <v>46333</v>
      </c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B73" s="2" t="n">
        <v>46334</v>
      </c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B74" s="2" t="n">
        <v>46335</v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B75" s="2" t="n">
        <v>46336</v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B76" s="2" t="n">
        <v>46337</v>
      </c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B77" s="2" t="n">
        <v>46338</v>
      </c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B78" s="2" t="n">
        <v>46339</v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B79" s="2" t="n">
        <v>46340</v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B80" s="2" t="n">
        <v>46341</v>
      </c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B81" s="2" t="n">
        <v>46342</v>
      </c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B82" s="2" t="n">
        <v>46343</v>
      </c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B83" s="2" t="n">
        <v>46344</v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B84" s="2" t="n">
        <v>46345</v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B85" s="2" t="n">
        <v>46346</v>
      </c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B86" s="2" t="n">
        <v>46347</v>
      </c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B87" s="2" t="n">
        <v>46348</v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B88" s="2" t="n">
        <v>46349</v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B89" s="2" t="n">
        <v>46350</v>
      </c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B90" s="2" t="n">
        <v>46351</v>
      </c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B91" s="2" t="n">
        <v>46352</v>
      </c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B92" s="2" t="n">
        <v>46353</v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B93" s="2" t="n">
        <v>46354</v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B94" s="2" t="n">
        <v>46355</v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B95" s="2" t="n">
        <v>46356</v>
      </c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B96" s="2" t="n">
        <v>46357</v>
      </c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B97" s="2" t="n">
        <v>46358</v>
      </c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B98" s="2" t="n">
        <v>46359</v>
      </c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B99" s="2" t="n">
        <v>46360</v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B100" s="2" t="n">
        <v>46361</v>
      </c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B101" s="2" t="n">
        <v>46362</v>
      </c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B102" s="2" t="n">
        <v>46363</v>
      </c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B103" s="2" t="n">
        <v>46364</v>
      </c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B104" s="2" t="n">
        <v>46365</v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B105" s="2" t="n">
        <v>46366</v>
      </c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B106" s="2" t="n">
        <v>46367</v>
      </c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B107" s="2" t="n">
        <v>46368</v>
      </c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B108" s="2" t="n">
        <v>46369</v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B109" s="2" t="n">
        <v>46370</v>
      </c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B110" s="2" t="n">
        <v>46371</v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B111" s="2" t="n">
        <v>46372</v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B112" s="2" t="n">
        <v>46373</v>
      </c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B113" s="2" t="n">
        <v>46374</v>
      </c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B114" s="2" t="n">
        <v>46375</v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B115" s="2" t="n">
        <v>46376</v>
      </c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B116" s="2" t="n">
        <v>46377</v>
      </c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B117" s="2" t="n">
        <v>46378</v>
      </c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B118" s="2" t="n">
        <v>46379</v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B119" s="2" t="n">
        <v>46380</v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B120" s="2" t="n">
        <v>46381</v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B121" s="2" t="n">
        <v>46382</v>
      </c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B122" s="2" t="n">
        <v>46383</v>
      </c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B123" s="2" t="n">
        <v>46384</v>
      </c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B124" s="2" t="n">
        <v>46385</v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B125" s="2" t="n">
        <v>46386</v>
      </c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B126" s="2" t="n">
        <v>46387</v>
      </c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B127" s="2" t="n">
        <v>46388</v>
      </c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B128" s="2" t="n">
        <v>46389</v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B129" s="2" t="n">
        <v>46390</v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B130" s="2" t="n">
        <v>46391</v>
      </c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B131" s="2" t="n">
        <v>46392</v>
      </c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B132" s="2" t="n">
        <v>46393</v>
      </c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B133" s="2" t="n">
        <v>46394</v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B134" s="2" t="n">
        <v>46395</v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B135" s="2" t="n">
        <v>46396</v>
      </c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B136" s="2" t="n">
        <v>46397</v>
      </c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B137" s="2" t="n">
        <v>46398</v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B138" s="2" t="n">
        <v>46399</v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B139" s="2" t="n">
        <v>46400</v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B140" s="2" t="n">
        <v>46401</v>
      </c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B141" s="2" t="n">
        <v>46402</v>
      </c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B142" s="2" t="n">
        <v>46403</v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B143" s="2" t="n">
        <v>46404</v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>
      <c r="B144" s="2" t="n">
        <v>46405</v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>
      <c r="B145" s="2" t="n">
        <v>46406</v>
      </c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>
      <c r="B146" s="2" t="n">
        <v>46407</v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>
      <c r="B147" s="2" t="n">
        <v>46408</v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B148" s="2" t="n">
        <v>46409</v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B149" s="2" t="n">
        <v>46410</v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B150" s="2" t="n">
        <v>46411</v>
      </c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B151" s="2" t="n">
        <v>46412</v>
      </c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B152" s="2" t="n">
        <v>46413</v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B153" s="2" t="n">
        <v>46414</v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B154" s="2" t="n">
        <v>46415</v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B155" s="2" t="n">
        <v>46416</v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B156" s="2" t="n">
        <v>46417</v>
      </c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B157" s="2" t="n">
        <v>46418</v>
      </c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B158" s="2" t="n">
        <v>46265</v>
      </c>
      <c r="C158" s="11" t="n">
        <v>757.37</v>
      </c>
      <c r="D158" s="11" t="n">
        <v>0</v>
      </c>
      <c r="E158" s="11" t="n">
        <v>53.69</v>
      </c>
      <c r="F158" s="11" t="n">
        <v>1.47</v>
      </c>
      <c r="G158" s="11" t="n">
        <v>176.12</v>
      </c>
      <c r="H158" s="11" t="n">
        <v>682.22</v>
      </c>
      <c r="I158" s="11" t="n">
        <v>0.05</v>
      </c>
      <c r="J158" s="11" t="n">
        <v>0.03</v>
      </c>
      <c r="K158" s="11" t="n">
        <v>304.07</v>
      </c>
      <c r="L158" s="11" t="n">
        <v>0</v>
      </c>
      <c r="M158" s="11" t="n">
        <v>154.93</v>
      </c>
      <c r="N158" s="11" t="n">
        <v>0.01</v>
      </c>
      <c r="O158" s="11" t="n">
        <v>81.62</v>
      </c>
      <c r="P158" s="11" t="n">
        <v>0.89</v>
      </c>
      <c r="Q158" s="11" t="n">
        <v>122.55</v>
      </c>
      <c r="R158" s="11">
        <f>SUM(C158:Q158)</f>
        <v/>
      </c>
    </row>
    <row r="159">
      <c r="B159" s="2" t="n">
        <v>46263</v>
      </c>
      <c r="C159" s="11" t="n">
        <v>3538.62</v>
      </c>
      <c r="D159" s="11" t="n">
        <v>197.64</v>
      </c>
      <c r="E159" s="11" t="n">
        <v>461.78</v>
      </c>
      <c r="F159" s="11" t="n">
        <v>77.31</v>
      </c>
      <c r="G159" s="11" t="n">
        <v>837.1900000000001</v>
      </c>
      <c r="H159" s="11" t="n">
        <v>2090.5</v>
      </c>
      <c r="I159" s="11" t="n">
        <v>1.32</v>
      </c>
      <c r="J159" s="11" t="n">
        <v>2.77</v>
      </c>
      <c r="K159" s="11" t="n">
        <v>795.17</v>
      </c>
      <c r="L159" s="11" t="n">
        <v>0</v>
      </c>
      <c r="M159" s="11" t="n">
        <v>992.3</v>
      </c>
      <c r="N159" s="11" t="n">
        <v>0.2</v>
      </c>
      <c r="O159" s="11" t="n">
        <v>245.3</v>
      </c>
      <c r="P159" s="11" t="n">
        <v>3.41</v>
      </c>
      <c r="Q159" s="11" t="n">
        <v>166.61</v>
      </c>
      <c r="R159" s="11">
        <f>SUM(C159:Q159)</f>
        <v/>
      </c>
    </row>
    <row r="160">
      <c r="B160" s="2" t="n">
        <v>46264</v>
      </c>
      <c r="C160" s="11" t="n">
        <v>3248.96</v>
      </c>
      <c r="D160" s="11" t="n">
        <v>181.87</v>
      </c>
      <c r="E160" s="11" t="n">
        <v>482.64</v>
      </c>
      <c r="F160" s="11" t="n">
        <v>50.56</v>
      </c>
      <c r="G160" s="11" t="n">
        <v>940.04</v>
      </c>
      <c r="H160" s="11" t="n">
        <v>1742.42</v>
      </c>
      <c r="I160" s="11" t="n">
        <v>1.33</v>
      </c>
      <c r="J160" s="11" t="n">
        <v>2.41</v>
      </c>
      <c r="K160" s="11" t="n">
        <v>767.61</v>
      </c>
      <c r="L160" s="11" t="n">
        <v>0.01</v>
      </c>
      <c r="M160" s="11" t="n">
        <v>856.47</v>
      </c>
      <c r="N160" s="11" t="n">
        <v>0.5</v>
      </c>
      <c r="O160" s="11" t="n">
        <v>209.66</v>
      </c>
      <c r="P160" s="11" t="n">
        <v>1.03</v>
      </c>
      <c r="Q160" s="11" t="n">
        <v>183.43</v>
      </c>
      <c r="R160" s="11">
        <f>SUM(C160:Q160)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2026-09-08T06:34:56Z</dcterms:created>
  <dcterms:modified xsi:type="dcterms:W3CDTF">2026-09-30T05:42:40Z</dcterms:modified>
  <cp:lastModifiedBy>User</cp:lastModifiedBy>
</cp:coreProperties>
</file>