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4295" yWindow="0" windowWidth="14610" windowHeight="15585" tabRatio="600" firstSheet="0" activeTab="0" autoFilterDateGrouping="1"/>
  </bookViews>
  <sheets>
    <sheet name="EMS Monitoring Repor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/mmm/yyyy"/>
    <numFmt numFmtId="165" formatCode="dd-mmm-yyyy"/>
  </numFmts>
  <fonts count="6">
    <font>
      <name val="Calibri"/>
      <family val="2"/>
      <color theme="1"/>
      <sz val="11"/>
      <scheme val="minor"/>
    </font>
    <font>
      <name val="Bookman Old Style"/>
      <family val="1"/>
      <color theme="1"/>
      <sz val="11"/>
    </font>
    <font>
      <name val="Bookman Old Style"/>
      <family val="1"/>
      <color theme="0"/>
      <sz val="11"/>
    </font>
    <font>
      <name val="Bookman Old Style"/>
      <family val="1"/>
      <color rgb="FF1F1F1F"/>
      <sz val="17"/>
    </font>
    <font>
      <name val="Bookman Old Style"/>
      <family val="1"/>
      <color theme="1"/>
      <sz val="20"/>
    </font>
    <font>
      <name val="Bookman Old Style"/>
      <family val="1"/>
      <color theme="9" tint="-0.499984740745262"/>
      <sz val="20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165" fontId="1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7"/>
  <sheetViews>
    <sheetView tabSelected="1" topLeftCell="M1" zoomScaleNormal="100" workbookViewId="0">
      <selection activeCell="R16" sqref="R16"/>
    </sheetView>
  </sheetViews>
  <sheetFormatPr baseColWidth="8" defaultRowHeight="15"/>
  <cols>
    <col width="9.140625" customWidth="1" style="8" min="1" max="1"/>
    <col width="15" bestFit="1" customWidth="1" style="8" min="2" max="2"/>
    <col width="31.140625" bestFit="1" customWidth="1" style="8" min="3" max="3"/>
    <col width="23.5703125" bestFit="1" customWidth="1" style="8" min="4" max="4"/>
    <col width="27.5703125" bestFit="1" customWidth="1" style="8" min="5" max="5"/>
    <col width="26" bestFit="1" customWidth="1" style="8" min="6" max="6"/>
    <col width="22.85546875" bestFit="1" customWidth="1" style="8" min="7" max="7"/>
    <col width="18.140625" bestFit="1" customWidth="1" style="8" min="8" max="8"/>
    <col width="20.5703125" bestFit="1" customWidth="1" style="8" min="9" max="9"/>
    <col width="19.7109375" bestFit="1" customWidth="1" style="8" min="10" max="10"/>
    <col width="41.85546875" bestFit="1" customWidth="1" style="8" min="11" max="11"/>
    <col width="35.42578125" bestFit="1" customWidth="1" style="8" min="12" max="13"/>
    <col width="18.42578125" bestFit="1" customWidth="1" style="8" min="14" max="14"/>
    <col width="23.140625" bestFit="1" customWidth="1" style="8" min="15" max="15"/>
    <col width="20.5703125" bestFit="1" customWidth="1" style="8" min="16" max="16"/>
    <col width="11.140625" bestFit="1" customWidth="1" style="8" min="17" max="17"/>
    <col width="10.28515625" bestFit="1" customWidth="1" style="8" min="18" max="18"/>
    <col width="9.140625" customWidth="1" style="8" min="19" max="19"/>
    <col width="9.140625" customWidth="1" style="8" min="20" max="16384"/>
  </cols>
  <sheetData>
    <row r="1" ht="25.5" customHeight="1">
      <c r="A1" s="7" t="n"/>
      <c r="B1" s="6" t="n"/>
      <c r="C1" s="6" t="n"/>
      <c r="D1" s="6" t="n"/>
      <c r="G1" s="9" t="inlineStr">
        <is>
          <t>EMS Monitoring Report 2026 (Active Energy in kWh)</t>
        </is>
      </c>
    </row>
    <row r="2" ht="25.5" customHeight="1">
      <c r="A2" s="7" t="n"/>
      <c r="B2" s="6" t="n"/>
      <c r="C2" s="6" t="n"/>
      <c r="D2" s="6" t="n"/>
      <c r="G2" s="10" t="n"/>
    </row>
    <row r="3" ht="15.75" customFormat="1" customHeight="1" s="12">
      <c r="A3" s="11" t="n"/>
      <c r="B3" s="5" t="inlineStr">
        <is>
          <t>Date</t>
        </is>
      </c>
      <c r="C3" s="5" t="inlineStr">
        <is>
          <t>Old LT Panel Main Incomer</t>
        </is>
      </c>
      <c r="D3" s="5" t="inlineStr">
        <is>
          <t>Chiller Plating Plant</t>
        </is>
      </c>
      <c r="E3" s="5" t="inlineStr">
        <is>
          <t>Packing &amp; Stiching Line</t>
        </is>
      </c>
      <c r="F3" s="5" t="inlineStr">
        <is>
          <t>Rigga Line Fabrication</t>
        </is>
      </c>
      <c r="G3" s="5" t="inlineStr">
        <is>
          <t>Press &amp; Fabrication</t>
        </is>
      </c>
      <c r="H3" s="5" t="inlineStr">
        <is>
          <t>Powder Coating</t>
        </is>
      </c>
      <c r="I3" s="5" t="inlineStr">
        <is>
          <t>New Plating Plant</t>
        </is>
      </c>
      <c r="J3" s="5" t="inlineStr">
        <is>
          <t>Old Plating Plant</t>
        </is>
      </c>
      <c r="K3" s="5" t="inlineStr">
        <is>
          <t>Kaeser ASD 60 40HP Air Compressor</t>
        </is>
      </c>
      <c r="L3" s="5" t="inlineStr">
        <is>
          <t>ELGI E18 25HP Air Compressor</t>
        </is>
      </c>
      <c r="M3" s="5" t="inlineStr">
        <is>
          <t>ELGI E45 60HP Air Compressor</t>
        </is>
      </c>
      <c r="N3" s="5" t="inlineStr">
        <is>
          <t>DIPP_PT_PANEĹ</t>
        </is>
      </c>
      <c r="O3" s="5" t="inlineStr">
        <is>
          <t>DUST_ COLLECTOR</t>
        </is>
      </c>
      <c r="P3" s="5" t="inlineStr">
        <is>
          <t>SPRAY_PT_PANEL</t>
        </is>
      </c>
      <c r="Q3" s="5" t="inlineStr">
        <is>
          <t>DM Plant</t>
        </is>
      </c>
      <c r="R3" s="5" t="inlineStr">
        <is>
          <t>Total</t>
        </is>
      </c>
    </row>
    <row r="4">
      <c r="B4" s="2" t="inlineStr">
        <is>
          <t>Cum.  (YTD)</t>
        </is>
      </c>
      <c r="C4" s="2">
        <f>SUM(C5:C34)</f>
        <v/>
      </c>
      <c r="D4" s="2">
        <f>SUM(D5:D34)</f>
        <v/>
      </c>
      <c r="E4" s="2">
        <f>SUM(E5:E34)</f>
        <v/>
      </c>
      <c r="F4" s="2">
        <f>SUM(F5:F34)</f>
        <v/>
      </c>
      <c r="G4" s="2">
        <f>SUM(G5:G34)</f>
        <v/>
      </c>
      <c r="H4" s="2">
        <f>SUM(H5:H34)</f>
        <v/>
      </c>
      <c r="I4" s="2">
        <f>SUM(I5:I34)</f>
        <v/>
      </c>
      <c r="J4" s="2">
        <f>SUM(J5:J34)</f>
        <v/>
      </c>
      <c r="K4" s="2">
        <f>SUM(K5:K34)</f>
        <v/>
      </c>
      <c r="L4" s="2">
        <f>SUM(L5:L34)</f>
        <v/>
      </c>
      <c r="M4" s="2">
        <f>SUM(M5:M34)</f>
        <v/>
      </c>
      <c r="N4" s="2">
        <f>SUM(N5:N34)</f>
        <v/>
      </c>
      <c r="O4" s="2">
        <f>SUM(O5:O34)</f>
        <v/>
      </c>
      <c r="P4" s="2">
        <f>SUM(P5:P34)</f>
        <v/>
      </c>
      <c r="Q4" s="2">
        <f>SUM(Q5:Q34)</f>
        <v/>
      </c>
      <c r="R4" s="2">
        <f>SUM(R5:R34)</f>
        <v/>
      </c>
    </row>
    <row r="5">
      <c r="B5" s="3" t="n">
        <v>46266</v>
      </c>
      <c r="C5" s="2" t="n">
        <v>2935.61</v>
      </c>
      <c r="D5" s="2" t="n">
        <v>135.18</v>
      </c>
      <c r="E5" s="2" t="n">
        <v>373.23</v>
      </c>
      <c r="F5" s="2" t="n">
        <v>96.7</v>
      </c>
      <c r="G5" s="2" t="n">
        <v>690.42</v>
      </c>
      <c r="H5" s="2" t="n">
        <v>1619.92</v>
      </c>
      <c r="I5" s="2" t="n">
        <v>0.86</v>
      </c>
      <c r="J5" s="2" t="n">
        <v>168.5</v>
      </c>
      <c r="K5" s="2" t="n">
        <v>595.79</v>
      </c>
      <c r="L5" s="2" t="n">
        <v>0.03</v>
      </c>
      <c r="M5" s="2" t="n">
        <v>818.87</v>
      </c>
      <c r="N5" s="2" t="n">
        <v>0.03</v>
      </c>
      <c r="O5" s="2" t="n">
        <v>191.3</v>
      </c>
      <c r="P5" s="2" t="n">
        <v>10.53</v>
      </c>
      <c r="Q5" s="2" t="n">
        <v>139.19</v>
      </c>
      <c r="R5" s="2">
        <f>SUM(C5:Q5)</f>
        <v/>
      </c>
    </row>
    <row r="6">
      <c r="B6" s="3" t="n">
        <v>46267</v>
      </c>
      <c r="C6" s="2" t="n">
        <v>3781.31</v>
      </c>
      <c r="D6" s="2" t="n">
        <v>196.51</v>
      </c>
      <c r="E6" s="2" t="n">
        <v>418.54</v>
      </c>
      <c r="F6" s="2" t="n">
        <v>100.42</v>
      </c>
      <c r="G6" s="2" t="n">
        <v>959.8200000000001</v>
      </c>
      <c r="H6" s="2" t="n">
        <v>2018.34</v>
      </c>
      <c r="I6" s="2" t="n">
        <v>1</v>
      </c>
      <c r="J6" s="2" t="n">
        <v>79.61</v>
      </c>
      <c r="K6" s="2" t="n">
        <v>799.66</v>
      </c>
      <c r="L6" s="2" t="n">
        <v>0.06</v>
      </c>
      <c r="M6" s="2" t="n">
        <v>1045.8</v>
      </c>
      <c r="N6" s="2" t="n">
        <v>0</v>
      </c>
      <c r="O6" s="2" t="n">
        <v>251.63</v>
      </c>
      <c r="P6" s="2" t="n">
        <v>4.94</v>
      </c>
      <c r="Q6" s="2" t="n">
        <v>172.77</v>
      </c>
      <c r="R6" s="2">
        <f>SUM(C6:Q6)</f>
        <v/>
      </c>
    </row>
    <row r="7">
      <c r="B7" s="3" t="n">
        <v>46268</v>
      </c>
      <c r="C7" s="2" t="n">
        <v>3743.3</v>
      </c>
      <c r="D7" s="2" t="n">
        <v>185.04</v>
      </c>
      <c r="E7" s="2" t="n">
        <v>535.09</v>
      </c>
      <c r="F7" s="2" t="n">
        <v>241.99</v>
      </c>
      <c r="G7" s="2" t="n">
        <v>1020.71</v>
      </c>
      <c r="H7" s="2" t="n">
        <v>1962.2</v>
      </c>
      <c r="I7" s="2" t="n">
        <v>1.24</v>
      </c>
      <c r="J7" s="2" t="n">
        <v>7.05</v>
      </c>
      <c r="K7" s="2" t="n">
        <v>788.45</v>
      </c>
      <c r="L7" s="2" t="n">
        <v>0.04</v>
      </c>
      <c r="M7" s="2" t="n">
        <v>987.95</v>
      </c>
      <c r="N7" s="2" t="n">
        <v>0.08</v>
      </c>
      <c r="O7" s="2" t="n">
        <v>247.68</v>
      </c>
      <c r="P7" s="2" t="n">
        <v>4.22</v>
      </c>
      <c r="Q7" s="2" t="n">
        <v>167.2</v>
      </c>
      <c r="R7" s="2">
        <f>SUM(C7:Q7)</f>
        <v/>
      </c>
    </row>
    <row r="8">
      <c r="B8" s="3" t="n">
        <v>46269</v>
      </c>
      <c r="C8" s="2" t="n">
        <v>3743.3</v>
      </c>
      <c r="D8" s="2" t="n">
        <v>185.04</v>
      </c>
      <c r="E8" s="2" t="n">
        <v>535.09</v>
      </c>
      <c r="F8" s="2" t="n">
        <v>241.99</v>
      </c>
      <c r="G8" s="2" t="n">
        <v>1020.71</v>
      </c>
      <c r="H8" s="2" t="n">
        <v>1962.2</v>
      </c>
      <c r="I8" s="2" t="n">
        <v>1.24</v>
      </c>
      <c r="J8" s="2" t="n">
        <v>7.05</v>
      </c>
      <c r="K8" s="2" t="n">
        <v>788.45</v>
      </c>
      <c r="L8" s="2" t="n">
        <v>0.04</v>
      </c>
      <c r="M8" s="2" t="n">
        <v>987.95</v>
      </c>
      <c r="N8" s="2" t="n">
        <v>0.08</v>
      </c>
      <c r="O8" s="2" t="n">
        <v>247.68</v>
      </c>
      <c r="P8" s="2" t="n">
        <v>4.22</v>
      </c>
      <c r="Q8" s="2" t="n">
        <v>167.2</v>
      </c>
      <c r="R8" s="2">
        <f>SUM(C8:Q8)</f>
        <v/>
      </c>
    </row>
    <row r="9">
      <c r="B9" s="3" t="n">
        <v>46270</v>
      </c>
      <c r="C9" s="2" t="n">
        <v>3826.3</v>
      </c>
      <c r="D9" s="2" t="n">
        <v>188.71</v>
      </c>
      <c r="E9" s="2" t="n">
        <v>497.49</v>
      </c>
      <c r="F9" s="2" t="n">
        <v>234.7</v>
      </c>
      <c r="G9" s="2" t="n">
        <v>1100.89</v>
      </c>
      <c r="H9" s="2" t="n">
        <v>1986.35</v>
      </c>
      <c r="I9" s="2" t="n">
        <v>1.26</v>
      </c>
      <c r="J9" s="2" t="n">
        <v>2.6</v>
      </c>
      <c r="K9" s="2" t="n">
        <v>797.88</v>
      </c>
      <c r="L9" s="2" t="n">
        <v>0.04</v>
      </c>
      <c r="M9" s="2" t="n">
        <v>1000.93</v>
      </c>
      <c r="N9" s="2" t="n">
        <v>0.08</v>
      </c>
      <c r="O9" s="2" t="n">
        <v>248.62</v>
      </c>
      <c r="P9" s="2" t="n">
        <v>4.59</v>
      </c>
      <c r="Q9" s="2" t="n">
        <v>132.3</v>
      </c>
      <c r="R9" s="2">
        <f>SUM(C9:Q9)</f>
        <v/>
      </c>
    </row>
    <row r="10">
      <c r="B10" s="3" t="n">
        <v>46271</v>
      </c>
      <c r="C10" s="2" t="n">
        <v>3444.83</v>
      </c>
      <c r="D10" s="2" t="n">
        <v>184.01</v>
      </c>
      <c r="E10" s="2" t="n">
        <v>488.17</v>
      </c>
      <c r="F10" s="2" t="n">
        <v>164.68</v>
      </c>
      <c r="G10" s="2" t="n">
        <v>917.03</v>
      </c>
      <c r="H10" s="2" t="n">
        <v>1972.85</v>
      </c>
      <c r="I10" s="2" t="n">
        <v>1.08</v>
      </c>
      <c r="J10" s="2" t="n">
        <v>2.93</v>
      </c>
      <c r="K10" s="2" t="n">
        <v>790.67</v>
      </c>
      <c r="L10" s="2" t="n">
        <v>0.03</v>
      </c>
      <c r="M10" s="2" t="n">
        <v>1004.56</v>
      </c>
      <c r="N10" s="2" t="n">
        <v>0.2</v>
      </c>
      <c r="O10" s="2" t="n">
        <v>249.31</v>
      </c>
      <c r="P10" s="2" t="n">
        <v>4.34</v>
      </c>
      <c r="Q10" s="2" t="n">
        <v>159.5</v>
      </c>
      <c r="R10" s="2">
        <f>SUM(C10:Q10)</f>
        <v/>
      </c>
    </row>
    <row r="11">
      <c r="B11" s="3" t="n">
        <v>46272</v>
      </c>
      <c r="C11" s="1" t="n">
        <v>622.37</v>
      </c>
      <c r="D11" s="1" t="n">
        <v>12.96</v>
      </c>
      <c r="E11" s="1" t="n">
        <v>79.12</v>
      </c>
      <c r="F11" s="1" t="n">
        <v>0.8100000000000001</v>
      </c>
      <c r="G11" s="1" t="n">
        <v>236.59</v>
      </c>
      <c r="H11" s="1" t="n">
        <v>454.54</v>
      </c>
      <c r="I11" s="1" t="n">
        <v>0.1</v>
      </c>
      <c r="J11" s="1" t="n">
        <v>0.42</v>
      </c>
      <c r="K11" s="1" t="n">
        <v>188.29</v>
      </c>
      <c r="L11" s="1" t="n">
        <v>0</v>
      </c>
      <c r="M11" s="1" t="n">
        <v>148.61</v>
      </c>
      <c r="N11" s="1" t="n">
        <v>0</v>
      </c>
      <c r="O11" s="1" t="n">
        <v>41.44</v>
      </c>
      <c r="P11" s="1" t="n">
        <v>6.16</v>
      </c>
      <c r="Q11" s="1" t="n">
        <v>100.29</v>
      </c>
      <c r="R11" s="1">
        <f>SUM(C11:Q11)</f>
        <v/>
      </c>
    </row>
    <row r="12">
      <c r="B12" s="3" t="n">
        <v>46273</v>
      </c>
      <c r="C12" s="4" t="n">
        <v>2810.95</v>
      </c>
      <c r="D12" s="2" t="n">
        <v>137.85</v>
      </c>
      <c r="E12" s="2" t="n">
        <v>473.31</v>
      </c>
      <c r="F12" s="2" t="n">
        <v>120.39</v>
      </c>
      <c r="G12" s="2" t="n">
        <v>891.4</v>
      </c>
      <c r="H12" s="4" t="n">
        <v>1529.23</v>
      </c>
      <c r="I12" s="2" t="n">
        <v>0.91</v>
      </c>
      <c r="J12" s="2" t="n">
        <v>5.07</v>
      </c>
      <c r="K12" s="2" t="n">
        <v>605.72</v>
      </c>
      <c r="L12" s="2" t="n">
        <v>0.03</v>
      </c>
      <c r="M12" s="2" t="n">
        <v>823.37</v>
      </c>
      <c r="N12" s="2" t="n">
        <v>0</v>
      </c>
      <c r="O12" s="2" t="n">
        <v>179.04</v>
      </c>
      <c r="P12" s="2" t="n">
        <v>6.17</v>
      </c>
      <c r="Q12" s="2" t="n">
        <v>155.65</v>
      </c>
      <c r="R12" s="2">
        <f>SUM(D12:Q12)</f>
        <v/>
      </c>
    </row>
    <row r="13">
      <c r="B13" s="3" t="n">
        <v>46274</v>
      </c>
      <c r="C13" s="2" t="n">
        <v>3910.3</v>
      </c>
      <c r="D13" s="2" t="n">
        <v>184.42</v>
      </c>
      <c r="E13" s="2" t="n">
        <v>525.4299999999999</v>
      </c>
      <c r="F13" s="2" t="n">
        <v>192.91</v>
      </c>
      <c r="G13" s="2" t="n">
        <v>1003.71</v>
      </c>
      <c r="H13" s="2" t="n">
        <v>2039.47</v>
      </c>
      <c r="I13" s="2" t="n">
        <v>1.12</v>
      </c>
      <c r="J13" s="2" t="n">
        <v>2</v>
      </c>
      <c r="K13" s="2" t="n">
        <v>797.79</v>
      </c>
      <c r="L13" s="2" t="n">
        <v>0.06</v>
      </c>
      <c r="M13" s="2" t="n">
        <v>1030</v>
      </c>
      <c r="N13" s="2" t="n">
        <v>0.06</v>
      </c>
      <c r="O13" s="2" t="n">
        <v>248.22</v>
      </c>
      <c r="P13" s="2" t="n">
        <v>5.5</v>
      </c>
      <c r="Q13" s="2" t="n">
        <v>182.15</v>
      </c>
      <c r="R13" s="2">
        <f>SUM(C13:Q13)</f>
        <v/>
      </c>
    </row>
    <row r="14">
      <c r="B14" s="3" t="n">
        <v>46275</v>
      </c>
      <c r="C14" s="1" t="n">
        <v>3719.08</v>
      </c>
      <c r="D14" s="1" t="n">
        <v>187.31</v>
      </c>
      <c r="E14" s="2" t="n">
        <v>449.57</v>
      </c>
      <c r="F14" s="1" t="n">
        <v>204.01</v>
      </c>
      <c r="G14" s="1" t="n">
        <v>1002.96</v>
      </c>
      <c r="H14" s="1" t="n">
        <v>1955.74</v>
      </c>
      <c r="I14" s="1" t="n">
        <v>1.29</v>
      </c>
      <c r="J14" s="1" t="n">
        <v>3.63</v>
      </c>
      <c r="K14" s="1" t="n">
        <v>787.46</v>
      </c>
      <c r="L14" s="1" t="n">
        <v>0.06</v>
      </c>
      <c r="M14" s="1" t="n">
        <v>959.0700000000001</v>
      </c>
      <c r="N14" s="1" t="n">
        <v>0.07000000000000001</v>
      </c>
      <c r="O14" s="1" t="n">
        <v>225.64</v>
      </c>
      <c r="P14" s="1" t="n">
        <v>7.79</v>
      </c>
      <c r="Q14" s="1" t="n">
        <v>174.73</v>
      </c>
      <c r="R14" s="2">
        <f>SUM(C14:Q14)</f>
        <v/>
      </c>
    </row>
    <row r="15">
      <c r="B15" s="3" t="n">
        <v>46276</v>
      </c>
      <c r="C15" s="2" t="n">
        <v>3183.94</v>
      </c>
      <c r="D15" s="2" t="n">
        <v>124.93</v>
      </c>
      <c r="E15" s="2" t="n">
        <v>466.56</v>
      </c>
      <c r="F15" s="2" t="n">
        <v>171.67</v>
      </c>
      <c r="G15" s="2" t="n">
        <v>1059.49</v>
      </c>
      <c r="H15" s="2" t="n">
        <v>1748.36</v>
      </c>
      <c r="I15" s="2" t="n">
        <v>0.87</v>
      </c>
      <c r="J15" s="2" t="n">
        <v>3.19</v>
      </c>
      <c r="K15" s="2" t="n">
        <v>796.28</v>
      </c>
      <c r="L15" s="2" t="n">
        <v>0.05</v>
      </c>
      <c r="M15" s="2" t="n">
        <v>943.66</v>
      </c>
      <c r="N15" s="2" t="n">
        <v>0.06</v>
      </c>
      <c r="O15" s="2" t="n">
        <v>217.93</v>
      </c>
      <c r="P15" s="2" t="n">
        <v>22.85</v>
      </c>
      <c r="Q15" s="2" t="n">
        <v>187.77</v>
      </c>
      <c r="R15" s="2" t="n">
        <v>8927.610000000001</v>
      </c>
    </row>
    <row r="16">
      <c r="B16" s="13" t="n">
        <v>46277</v>
      </c>
      <c r="C16" s="2" t="n">
        <v>3165.92</v>
      </c>
      <c r="D16" s="2" t="n">
        <v>141.35</v>
      </c>
      <c r="E16" s="2" t="n">
        <v>477.82</v>
      </c>
      <c r="F16" s="2" t="n">
        <v>179.22</v>
      </c>
      <c r="G16" s="2" t="n">
        <v>1009.43</v>
      </c>
      <c r="H16" s="2" t="n">
        <v>2018.03</v>
      </c>
      <c r="I16" s="2" t="n">
        <v>1.21</v>
      </c>
      <c r="J16" s="2" t="n">
        <v>2.6</v>
      </c>
      <c r="K16" s="2" t="n">
        <v>776.61</v>
      </c>
      <c r="L16" s="2" t="n">
        <v>0.04</v>
      </c>
      <c r="M16" s="2" t="n">
        <v>1012.75</v>
      </c>
      <c r="N16" s="2" t="n">
        <v>0.17</v>
      </c>
      <c r="O16" s="2" t="n">
        <v>251.5</v>
      </c>
      <c r="P16" s="2" t="n">
        <v>9.19</v>
      </c>
      <c r="Q16" s="2" t="n">
        <v>160.99</v>
      </c>
      <c r="R16" s="2" t="n">
        <v>9206.83</v>
      </c>
    </row>
    <row r="17">
      <c r="B17" s="3" t="n">
        <v>46278</v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</row>
    <row r="18">
      <c r="B18" s="3" t="n">
        <v>46279</v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</row>
    <row r="19">
      <c r="B19" s="3" t="n">
        <v>46280</v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</row>
    <row r="20">
      <c r="B20" s="3" t="n">
        <v>46281</v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</row>
    <row r="21">
      <c r="B21" s="3" t="n">
        <v>46282</v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</row>
    <row r="22">
      <c r="B22" s="3" t="n">
        <v>46283</v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</row>
    <row r="23">
      <c r="B23" s="3" t="n">
        <v>46284</v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</row>
    <row r="24">
      <c r="B24" s="3" t="n">
        <v>46285</v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</row>
    <row r="25">
      <c r="B25" s="3" t="n">
        <v>46286</v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</row>
    <row r="26">
      <c r="B26" s="3" t="n">
        <v>46287</v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</row>
    <row r="27">
      <c r="B27" s="3" t="n">
        <v>46288</v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</row>
    <row r="28">
      <c r="B28" s="3" t="n">
        <v>46289</v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</row>
    <row r="29">
      <c r="B29" s="3" t="n">
        <v>46290</v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</row>
    <row r="30">
      <c r="B30" s="3" t="n">
        <v>46291</v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</row>
    <row r="31">
      <c r="B31" s="3" t="n">
        <v>46292</v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</row>
    <row r="32">
      <c r="B32" s="3" t="n">
        <v>46293</v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</row>
    <row r="33">
      <c r="B33" s="3" t="n">
        <v>46294</v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</row>
    <row r="34">
      <c r="B34" s="3" t="n">
        <v>46295</v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</row>
    <row r="35">
      <c r="B35" s="3" t="n">
        <v>46296</v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</row>
    <row r="36">
      <c r="B36" s="3" t="n">
        <v>46297</v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</row>
    <row r="37">
      <c r="B37" s="3" t="n">
        <v>46298</v>
      </c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</row>
    <row r="38">
      <c r="B38" s="3" t="n">
        <v>46299</v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</row>
    <row r="39">
      <c r="B39" s="3" t="n">
        <v>46300</v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</row>
    <row r="40">
      <c r="B40" s="3" t="n">
        <v>46301</v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</row>
    <row r="41">
      <c r="B41" s="3" t="n">
        <v>46302</v>
      </c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</row>
    <row r="42">
      <c r="B42" s="3" t="n">
        <v>46303</v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</row>
    <row r="43">
      <c r="B43" s="3" t="n">
        <v>46304</v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</row>
    <row r="44">
      <c r="B44" s="3" t="n">
        <v>46305</v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</row>
    <row r="45">
      <c r="B45" s="3" t="n">
        <v>46306</v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</row>
    <row r="46">
      <c r="B46" s="3" t="n">
        <v>46307</v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</row>
    <row r="47">
      <c r="B47" s="3" t="n">
        <v>46308</v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</row>
    <row r="48">
      <c r="B48" s="3" t="n">
        <v>46309</v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</row>
    <row r="49">
      <c r="B49" s="3" t="n">
        <v>46310</v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</row>
    <row r="50">
      <c r="B50" s="3" t="n">
        <v>46311</v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</row>
    <row r="51">
      <c r="B51" s="3" t="n">
        <v>46312</v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</row>
    <row r="52">
      <c r="B52" s="3" t="n">
        <v>46313</v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</row>
    <row r="53">
      <c r="B53" s="3" t="n">
        <v>46314</v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</row>
    <row r="54">
      <c r="B54" s="3" t="n">
        <v>46315</v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</row>
    <row r="55">
      <c r="B55" s="3" t="n">
        <v>46316</v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</row>
    <row r="56">
      <c r="B56" s="3" t="n">
        <v>46317</v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</row>
    <row r="57">
      <c r="B57" s="3" t="n">
        <v>46318</v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</row>
    <row r="58">
      <c r="B58" s="3" t="n">
        <v>46319</v>
      </c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</row>
    <row r="59">
      <c r="B59" s="3" t="n">
        <v>46320</v>
      </c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</row>
    <row r="60">
      <c r="B60" s="3" t="n">
        <v>46321</v>
      </c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</row>
    <row r="61">
      <c r="B61" s="3" t="n">
        <v>46322</v>
      </c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</row>
    <row r="62">
      <c r="B62" s="3" t="n">
        <v>46323</v>
      </c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</row>
    <row r="63">
      <c r="B63" s="3" t="n">
        <v>46324</v>
      </c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</row>
    <row r="64">
      <c r="B64" s="3" t="n">
        <v>46325</v>
      </c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</row>
    <row r="65">
      <c r="B65" s="3" t="n">
        <v>46326</v>
      </c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</row>
    <row r="66">
      <c r="B66" s="3" t="n">
        <v>46327</v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</row>
    <row r="67">
      <c r="B67" s="3" t="n">
        <v>46328</v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</row>
    <row r="68">
      <c r="B68" s="3" t="n">
        <v>46329</v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</row>
    <row r="69">
      <c r="B69" s="3" t="n">
        <v>46330</v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</row>
    <row r="70">
      <c r="B70" s="3" t="n">
        <v>46331</v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</row>
    <row r="71">
      <c r="B71" s="3" t="n">
        <v>46332</v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</row>
    <row r="72">
      <c r="B72" s="3" t="n">
        <v>46333</v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</row>
    <row r="73">
      <c r="B73" s="3" t="n">
        <v>46334</v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</row>
    <row r="74">
      <c r="B74" s="3" t="n">
        <v>46335</v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</row>
    <row r="75">
      <c r="B75" s="3" t="n">
        <v>46336</v>
      </c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</row>
    <row r="76">
      <c r="B76" s="3" t="n">
        <v>46337</v>
      </c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</row>
    <row r="77">
      <c r="B77" s="3" t="n">
        <v>46338</v>
      </c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</row>
    <row r="78">
      <c r="B78" s="3" t="n">
        <v>46339</v>
      </c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</row>
    <row r="79">
      <c r="B79" s="3" t="n">
        <v>46340</v>
      </c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</row>
    <row r="80">
      <c r="B80" s="3" t="n">
        <v>46341</v>
      </c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</row>
    <row r="81">
      <c r="B81" s="3" t="n">
        <v>46342</v>
      </c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</row>
    <row r="82">
      <c r="B82" s="3" t="n">
        <v>46343</v>
      </c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</row>
    <row r="83">
      <c r="B83" s="3" t="n">
        <v>46344</v>
      </c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</row>
    <row r="84">
      <c r="B84" s="3" t="n">
        <v>46345</v>
      </c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</row>
    <row r="85">
      <c r="B85" s="3" t="n">
        <v>46346</v>
      </c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</row>
    <row r="86">
      <c r="B86" s="3" t="n">
        <v>46347</v>
      </c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</row>
    <row r="87">
      <c r="B87" s="3" t="n">
        <v>46348</v>
      </c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</row>
    <row r="88">
      <c r="B88" s="3" t="n">
        <v>46349</v>
      </c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</row>
    <row r="89">
      <c r="B89" s="3" t="n">
        <v>46350</v>
      </c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</row>
    <row r="90">
      <c r="B90" s="3" t="n">
        <v>46351</v>
      </c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</row>
    <row r="91">
      <c r="B91" s="3" t="n">
        <v>46352</v>
      </c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</row>
    <row r="92">
      <c r="B92" s="3" t="n">
        <v>46353</v>
      </c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</row>
    <row r="93">
      <c r="B93" s="3" t="n">
        <v>46354</v>
      </c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</row>
    <row r="94">
      <c r="B94" s="3" t="n">
        <v>46355</v>
      </c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</row>
    <row r="95">
      <c r="B95" s="3" t="n">
        <v>46356</v>
      </c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</row>
    <row r="96">
      <c r="B96" s="3" t="n">
        <v>46357</v>
      </c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</row>
    <row r="97">
      <c r="B97" s="3" t="n">
        <v>46358</v>
      </c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</row>
    <row r="98">
      <c r="B98" s="3" t="n">
        <v>46359</v>
      </c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</row>
    <row r="99">
      <c r="B99" s="3" t="n">
        <v>46360</v>
      </c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</row>
    <row r="100">
      <c r="B100" s="3" t="n">
        <v>46361</v>
      </c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</row>
    <row r="101">
      <c r="B101" s="3" t="n">
        <v>46362</v>
      </c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</row>
    <row r="102">
      <c r="B102" s="3" t="n">
        <v>46363</v>
      </c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</row>
    <row r="103">
      <c r="B103" s="3" t="n">
        <v>46364</v>
      </c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</row>
    <row r="104">
      <c r="B104" s="3" t="n">
        <v>46365</v>
      </c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</row>
    <row r="105">
      <c r="B105" s="3" t="n">
        <v>46366</v>
      </c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</row>
    <row r="106">
      <c r="B106" s="3" t="n">
        <v>46367</v>
      </c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</row>
    <row r="107">
      <c r="B107" s="3" t="n">
        <v>46368</v>
      </c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</row>
    <row r="108">
      <c r="B108" s="3" t="n">
        <v>46369</v>
      </c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</row>
    <row r="109">
      <c r="B109" s="3" t="n">
        <v>46370</v>
      </c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</row>
    <row r="110">
      <c r="B110" s="3" t="n">
        <v>46371</v>
      </c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</row>
    <row r="111">
      <c r="B111" s="3" t="n">
        <v>46372</v>
      </c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</row>
    <row r="112">
      <c r="B112" s="3" t="n">
        <v>46373</v>
      </c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</row>
    <row r="113">
      <c r="B113" s="3" t="n">
        <v>46374</v>
      </c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</row>
    <row r="114">
      <c r="B114" s="3" t="n">
        <v>46375</v>
      </c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</row>
    <row r="115">
      <c r="B115" s="3" t="n">
        <v>46376</v>
      </c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</row>
    <row r="116">
      <c r="B116" s="3" t="n">
        <v>46377</v>
      </c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</row>
    <row r="117">
      <c r="B117" s="3" t="n">
        <v>46378</v>
      </c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</row>
    <row r="118">
      <c r="B118" s="3" t="n">
        <v>46379</v>
      </c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</row>
    <row r="119">
      <c r="B119" s="3" t="n">
        <v>46380</v>
      </c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</row>
    <row r="120">
      <c r="B120" s="3" t="n">
        <v>46381</v>
      </c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</row>
    <row r="121">
      <c r="B121" s="3" t="n">
        <v>46382</v>
      </c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</row>
    <row r="122">
      <c r="B122" s="3" t="n">
        <v>46383</v>
      </c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</row>
    <row r="123">
      <c r="B123" s="3" t="n">
        <v>46384</v>
      </c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</row>
    <row r="124">
      <c r="B124" s="3" t="n">
        <v>46385</v>
      </c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</row>
    <row r="125">
      <c r="B125" s="3" t="n">
        <v>46386</v>
      </c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</row>
    <row r="126">
      <c r="B126" s="3" t="n">
        <v>46387</v>
      </c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</row>
    <row r="127">
      <c r="B127" s="3" t="n">
        <v>46388</v>
      </c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</row>
    <row r="128">
      <c r="B128" s="3" t="n">
        <v>46389</v>
      </c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</row>
    <row r="129">
      <c r="B129" s="3" t="n">
        <v>46390</v>
      </c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</row>
    <row r="130">
      <c r="B130" s="3" t="n">
        <v>46391</v>
      </c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</row>
    <row r="131">
      <c r="B131" s="3" t="n">
        <v>46392</v>
      </c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</row>
    <row r="132">
      <c r="B132" s="3" t="n">
        <v>46393</v>
      </c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</row>
    <row r="133">
      <c r="B133" s="3" t="n">
        <v>46394</v>
      </c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</row>
    <row r="134">
      <c r="B134" s="3" t="n">
        <v>46395</v>
      </c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</row>
    <row r="135">
      <c r="B135" s="3" t="n">
        <v>46396</v>
      </c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</row>
    <row r="136">
      <c r="B136" s="3" t="n">
        <v>46397</v>
      </c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</row>
    <row r="137">
      <c r="B137" s="3" t="n">
        <v>46398</v>
      </c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</row>
    <row r="138">
      <c r="B138" s="3" t="n">
        <v>46399</v>
      </c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</row>
    <row r="139">
      <c r="B139" s="3" t="n">
        <v>46400</v>
      </c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</row>
    <row r="140">
      <c r="B140" s="3" t="n">
        <v>46401</v>
      </c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</row>
    <row r="141">
      <c r="B141" s="3" t="n">
        <v>46402</v>
      </c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</row>
    <row r="142">
      <c r="B142" s="3" t="n">
        <v>46403</v>
      </c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</row>
    <row r="143">
      <c r="B143" s="3" t="n">
        <v>46404</v>
      </c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</row>
    <row r="144">
      <c r="B144" s="3" t="n">
        <v>46405</v>
      </c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</row>
    <row r="145">
      <c r="B145" s="3" t="n">
        <v>46406</v>
      </c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</row>
    <row r="146">
      <c r="B146" s="3" t="n">
        <v>46407</v>
      </c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</row>
    <row r="147">
      <c r="B147" s="3" t="n">
        <v>46408</v>
      </c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</row>
    <row r="148">
      <c r="B148" s="3" t="n">
        <v>46409</v>
      </c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</row>
    <row r="149">
      <c r="B149" s="3" t="n">
        <v>46410</v>
      </c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</row>
    <row r="150">
      <c r="B150" s="3" t="n">
        <v>46411</v>
      </c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</row>
    <row r="151">
      <c r="B151" s="3" t="n">
        <v>46412</v>
      </c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</row>
    <row r="152">
      <c r="B152" s="3" t="n">
        <v>46413</v>
      </c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</row>
    <row r="153">
      <c r="B153" s="3" t="n">
        <v>46414</v>
      </c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</row>
    <row r="154">
      <c r="B154" s="3" t="n">
        <v>46415</v>
      </c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</row>
    <row r="155">
      <c r="B155" s="3" t="n">
        <v>46416</v>
      </c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</row>
    <row r="156">
      <c r="B156" s="3" t="n">
        <v>46417</v>
      </c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</row>
    <row r="157">
      <c r="B157" s="3" t="n">
        <v>46418</v>
      </c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2026-09-08T06:34:56Z</dcterms:created>
  <dcterms:modified xsi:type="dcterms:W3CDTF">2026-09-12T11:31:02Z</dcterms:modified>
  <cp:lastModifiedBy>User</cp:lastModifiedBy>
</cp:coreProperties>
</file>